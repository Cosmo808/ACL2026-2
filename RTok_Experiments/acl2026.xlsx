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osmo\Desktop\"/>
    </mc:Choice>
  </mc:AlternateContent>
  <xr:revisionPtr revIDLastSave="0" documentId="13_ncr:1_{7B84C687-F851-4483-8BA7-2CA64AF3349F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" i="1" l="1"/>
  <c r="C40" i="1"/>
  <c r="C36" i="1"/>
  <c r="C32" i="1"/>
  <c r="N24" i="1"/>
  <c r="N23" i="1"/>
  <c r="N22" i="1"/>
  <c r="N17" i="1"/>
  <c r="N8" i="1"/>
  <c r="N18" i="1"/>
  <c r="N19" i="1"/>
  <c r="N9" i="1"/>
  <c r="N10" i="1"/>
  <c r="N12" i="1"/>
  <c r="N13" i="1"/>
  <c r="N3" i="1"/>
  <c r="N4" i="1"/>
  <c r="N6" i="1"/>
  <c r="N7" i="1"/>
  <c r="N15" i="1"/>
  <c r="N16" i="1"/>
  <c r="N14" i="1"/>
  <c r="N5" i="1"/>
  <c r="C35" i="1"/>
  <c r="C38" i="1"/>
  <c r="C39" i="1"/>
  <c r="C34" i="1"/>
  <c r="C31" i="1"/>
  <c r="C30" i="1"/>
  <c r="C25" i="1"/>
  <c r="C26" i="1"/>
  <c r="C27" i="1"/>
  <c r="C24" i="1"/>
  <c r="C22" i="1"/>
  <c r="C21" i="1"/>
  <c r="C20" i="1"/>
  <c r="C19" i="1"/>
  <c r="C18" i="1"/>
  <c r="C17" i="1"/>
  <c r="C16" i="1"/>
  <c r="C13" i="1"/>
  <c r="C12" i="1"/>
  <c r="C11" i="1"/>
  <c r="C10" i="1"/>
  <c r="C9" i="1"/>
  <c r="C6" i="1"/>
  <c r="C5" i="1"/>
  <c r="C4" i="1"/>
  <c r="C3" i="1"/>
</calcChain>
</file>

<file path=xl/sharedStrings.xml><?xml version="1.0" encoding="utf-8"?>
<sst xmlns="http://schemas.openxmlformats.org/spreadsheetml/2006/main" count="247" uniqueCount="28">
  <si>
    <t>snn pretrain</t>
  </si>
  <si>
    <t>linear1: no tanh</t>
  </si>
  <si>
    <t>context: 1 layer</t>
  </si>
  <si>
    <t>spike acc</t>
  </si>
  <si>
    <t>non-spike acc</t>
  </si>
  <si>
    <t>context: hourglass</t>
  </si>
  <si>
    <t>alpha: 1</t>
  </si>
  <si>
    <t>beta: 0.5</t>
  </si>
  <si>
    <t>linear1: tanh</t>
  </si>
  <si>
    <t>alpha: 1.2</t>
  </si>
  <si>
    <t>beta: 0.3</t>
  </si>
  <si>
    <t>alpha: 1.4</t>
  </si>
  <si>
    <t>beta: 0.7</t>
  </si>
  <si>
    <t>alpha: 0.8</t>
  </si>
  <si>
    <t>alpha: 1.3</t>
  </si>
  <si>
    <t>beta: 0.4</t>
  </si>
  <si>
    <t>beta: 0.6</t>
  </si>
  <si>
    <t>context: hourglass noatt</t>
  </si>
  <si>
    <t>beta: 0.8</t>
  </si>
  <si>
    <t>acc sum</t>
  </si>
  <si>
    <t>char_embed_dim: 512</t>
  </si>
  <si>
    <t>char_embed_dim: 256</t>
  </si>
  <si>
    <t>char_embed_dim: 128</t>
  </si>
  <si>
    <t>char_embed_dim: 768</t>
  </si>
  <si>
    <t>char_embed_dim: 1024</t>
  </si>
  <si>
    <t>char_embed_dim: 64</t>
  </si>
  <si>
    <t>char_embed_dim: 32</t>
  </si>
  <si>
    <t>char_embed_dim: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</si>
</sst>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134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Border="1"/>
    <xf numFmtId="0" fontId="1" fillId="2" borderId="0" xfId="1" applyBorder="1" applyAlignment="1">
      <alignment horizontal="right"/>
    </xf>
    <xf numFmtId="0" fontId="1" fillId="2" borderId="0" xfId="1" applyBorder="1" applyAlignment="1">
      <alignment horizontal="left"/>
    </xf>
    <xf numFmtId="0" fontId="1" fillId="2" borderId="0" xfId="1" applyBorder="1"/>
    <xf numFmtId="0" fontId="0" fillId="0" borderId="0" xfId="0" applyFill="1" applyBorder="1"/>
    <xf numFmtId="0" fontId="4" fillId="3" borderId="0" xfId="2"/>
    <xf numFmtId="0" fontId="4" fillId="3" borderId="0" xfId="2" applyBorder="1" applyAlignment="1">
      <alignment horizontal="left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workbookViewId="0">
      <selection activeCell="L29" sqref="L29"/>
    </sheetView>
  </sheetViews>
  <sheetFormatPr defaultRowHeight="14.6"/>
  <cols>
    <col min="1" max="1" width="17.15234375" customWidth="1"/>
    <col min="2" max="2" width="14.765625" customWidth="1"/>
    <col min="3" max="3" width="16.3828125" customWidth="1"/>
    <col min="4" max="4" width="16.23046875" customWidth="1"/>
    <col min="5" max="5" width="22.61328125" customWidth="1"/>
    <col min="8" max="8" width="19.69140625" customWidth="1"/>
    <col min="10" max="10" width="12.23046875" customWidth="1"/>
    <col min="11" max="11" width="11.765625" customWidth="1"/>
    <col min="12" max="12" width="13.15234375" customWidth="1"/>
    <col min="13" max="13" width="11.765625" customWidth="1"/>
    <col min="14" max="14" width="11.61328125" customWidth="1"/>
    <col min="15" max="15" width="22.07421875" customWidth="1"/>
    <col min="16" max="16" width="14.07421875" customWidth="1"/>
    <col min="17" max="17" width="11.69140625" customWidth="1"/>
    <col min="18" max="18" width="15.07421875" customWidth="1"/>
    <col min="19" max="19" width="21" customWidth="1"/>
  </cols>
  <sheetData>
    <row r="1" spans="1:19" ht="20.6">
      <c r="A1" s="1" t="s">
        <v>0</v>
      </c>
      <c r="B1" s="2"/>
      <c r="C1" s="2"/>
      <c r="D1" s="2"/>
    </row>
    <row r="2" spans="1:19">
      <c r="A2" s="3" t="s">
        <v>3</v>
      </c>
      <c r="B2" s="3" t="s">
        <v>4</v>
      </c>
      <c r="C2" s="3" t="s">
        <v>19</v>
      </c>
      <c r="D2" s="2"/>
      <c r="L2" s="3" t="s">
        <v>3</v>
      </c>
      <c r="M2" s="3" t="s">
        <v>4</v>
      </c>
      <c r="N2" s="3" t="s">
        <v>19</v>
      </c>
    </row>
    <row r="3" spans="1:19">
      <c r="A3" s="5">
        <v>76.8</v>
      </c>
      <c r="B3" s="5">
        <v>83.3</v>
      </c>
      <c r="C3" s="7">
        <f>SUM(A3:B3)</f>
        <v>160.1</v>
      </c>
      <c r="D3" s="6" t="s">
        <v>1</v>
      </c>
      <c r="E3" s="6" t="s">
        <v>2</v>
      </c>
      <c r="F3" s="7" t="s">
        <v>6</v>
      </c>
      <c r="G3" s="6" t="s">
        <v>7</v>
      </c>
      <c r="H3" s="7" t="s">
        <v>20</v>
      </c>
      <c r="L3">
        <v>55.26</v>
      </c>
      <c r="M3">
        <v>46.05</v>
      </c>
      <c r="N3">
        <f t="shared" ref="N3:N4" si="0">SUM(L3:M3)</f>
        <v>101.31</v>
      </c>
      <c r="O3" t="s">
        <v>2</v>
      </c>
      <c r="P3" t="s">
        <v>9</v>
      </c>
      <c r="Q3" t="s">
        <v>16</v>
      </c>
      <c r="R3" t="s">
        <v>8</v>
      </c>
      <c r="S3" t="s">
        <v>24</v>
      </c>
    </row>
    <row r="4" spans="1:19">
      <c r="A4" s="5">
        <v>71.3</v>
      </c>
      <c r="B4" s="5">
        <v>83</v>
      </c>
      <c r="C4" s="7">
        <f>SUM(A4:B4)</f>
        <v>154.30000000000001</v>
      </c>
      <c r="D4" s="6" t="s">
        <v>1</v>
      </c>
      <c r="E4" s="6" t="s">
        <v>17</v>
      </c>
      <c r="F4" s="7" t="s">
        <v>6</v>
      </c>
      <c r="G4" s="6" t="s">
        <v>7</v>
      </c>
      <c r="H4" s="7" t="s">
        <v>20</v>
      </c>
      <c r="L4">
        <v>55.26</v>
      </c>
      <c r="M4">
        <v>46.05</v>
      </c>
      <c r="N4">
        <f t="shared" si="0"/>
        <v>101.31</v>
      </c>
      <c r="O4" t="s">
        <v>2</v>
      </c>
      <c r="P4" t="s">
        <v>9</v>
      </c>
      <c r="Q4" t="s">
        <v>16</v>
      </c>
      <c r="R4" t="s">
        <v>8</v>
      </c>
      <c r="S4" t="s">
        <v>23</v>
      </c>
    </row>
    <row r="5" spans="1:19">
      <c r="A5" s="8">
        <v>77</v>
      </c>
      <c r="B5" s="8">
        <v>83.3</v>
      </c>
      <c r="C5" s="10">
        <f>SUM(A5:B5)</f>
        <v>160.30000000000001</v>
      </c>
      <c r="D5" s="9" t="s">
        <v>8</v>
      </c>
      <c r="E5" s="9" t="s">
        <v>2</v>
      </c>
      <c r="F5" s="10" t="s">
        <v>6</v>
      </c>
      <c r="G5" s="9" t="s">
        <v>7</v>
      </c>
      <c r="H5" s="10" t="s">
        <v>20</v>
      </c>
      <c r="L5">
        <v>82.69</v>
      </c>
      <c r="M5">
        <v>80.959999999999994</v>
      </c>
      <c r="N5">
        <f>SUM(L5:M5)</f>
        <v>163.64999999999998</v>
      </c>
      <c r="O5" t="s">
        <v>2</v>
      </c>
      <c r="P5" t="s">
        <v>9</v>
      </c>
      <c r="Q5" t="s">
        <v>16</v>
      </c>
      <c r="R5" t="s">
        <v>8</v>
      </c>
      <c r="S5" t="s">
        <v>20</v>
      </c>
    </row>
    <row r="6" spans="1:19">
      <c r="A6" s="5">
        <v>76.8</v>
      </c>
      <c r="B6" s="5">
        <v>83.2</v>
      </c>
      <c r="C6" s="7">
        <f>SUM(A6:B6)</f>
        <v>160</v>
      </c>
      <c r="D6" s="6" t="s">
        <v>8</v>
      </c>
      <c r="E6" s="6" t="s">
        <v>17</v>
      </c>
      <c r="F6" s="7" t="s">
        <v>6</v>
      </c>
      <c r="G6" s="6" t="s">
        <v>7</v>
      </c>
      <c r="H6" s="7" t="s">
        <v>20</v>
      </c>
      <c r="L6">
        <v>82.91</v>
      </c>
      <c r="M6">
        <v>81.03</v>
      </c>
      <c r="N6">
        <f t="shared" ref="N6:N7" si="1">SUM(L6:M6)</f>
        <v>163.94</v>
      </c>
      <c r="O6" t="s">
        <v>2</v>
      </c>
      <c r="P6" t="s">
        <v>9</v>
      </c>
      <c r="Q6" t="s">
        <v>16</v>
      </c>
      <c r="R6" t="s">
        <v>8</v>
      </c>
      <c r="S6" t="s">
        <v>21</v>
      </c>
    </row>
    <row r="7" spans="1:19">
      <c r="A7" s="7"/>
      <c r="B7" s="7"/>
      <c r="C7" s="7"/>
      <c r="D7" s="7"/>
      <c r="E7" s="7"/>
      <c r="F7" s="7"/>
      <c r="G7" s="7"/>
      <c r="H7" s="7"/>
      <c r="L7" s="4">
        <v>83.4</v>
      </c>
      <c r="M7" s="4">
        <v>81.03</v>
      </c>
      <c r="N7" s="4">
        <f t="shared" si="1"/>
        <v>164.43</v>
      </c>
      <c r="O7" s="4" t="s">
        <v>2</v>
      </c>
      <c r="P7" s="4" t="s">
        <v>9</v>
      </c>
      <c r="Q7" s="4" t="s">
        <v>16</v>
      </c>
      <c r="R7" s="4" t="s">
        <v>8</v>
      </c>
      <c r="S7" s="4" t="s">
        <v>22</v>
      </c>
    </row>
    <row r="8" spans="1:19">
      <c r="A8" s="5"/>
      <c r="B8" s="5"/>
      <c r="C8" s="7"/>
      <c r="D8" s="7"/>
      <c r="E8" s="7"/>
      <c r="F8" s="7"/>
      <c r="G8" s="7"/>
      <c r="H8" s="7"/>
      <c r="L8">
        <v>79.72</v>
      </c>
      <c r="M8">
        <v>81.150000000000006</v>
      </c>
      <c r="N8">
        <f>SUM(L8:M8)</f>
        <v>160.87</v>
      </c>
      <c r="O8" t="s">
        <v>2</v>
      </c>
      <c r="P8" t="s">
        <v>9</v>
      </c>
      <c r="Q8" t="s">
        <v>16</v>
      </c>
      <c r="R8" t="s">
        <v>8</v>
      </c>
      <c r="S8" t="s">
        <v>27</v>
      </c>
    </row>
    <row r="9" spans="1:19">
      <c r="A9" s="5">
        <v>64.069999999999993</v>
      </c>
      <c r="B9" s="5">
        <v>86.5</v>
      </c>
      <c r="C9" s="7">
        <f>SUM(A9:B9)</f>
        <v>150.57</v>
      </c>
      <c r="D9" s="7" t="s">
        <v>8</v>
      </c>
      <c r="E9" s="7" t="s">
        <v>2</v>
      </c>
      <c r="F9" s="7" t="s">
        <v>13</v>
      </c>
      <c r="G9" s="7" t="s">
        <v>7</v>
      </c>
      <c r="H9" s="7" t="s">
        <v>20</v>
      </c>
      <c r="L9">
        <v>83.11</v>
      </c>
      <c r="M9">
        <v>81.010000000000005</v>
      </c>
      <c r="N9">
        <f>SUM(L9:M9)</f>
        <v>164.12</v>
      </c>
      <c r="O9" t="s">
        <v>2</v>
      </c>
      <c r="P9" t="s">
        <v>9</v>
      </c>
      <c r="Q9" t="s">
        <v>16</v>
      </c>
      <c r="R9" t="s">
        <v>8</v>
      </c>
      <c r="S9" t="s">
        <v>25</v>
      </c>
    </row>
    <row r="10" spans="1:19">
      <c r="A10" s="7">
        <v>77</v>
      </c>
      <c r="B10" s="7">
        <v>83.3</v>
      </c>
      <c r="C10" s="7">
        <f>SUM(A10:B10)</f>
        <v>160.30000000000001</v>
      </c>
      <c r="D10" s="7" t="s">
        <v>8</v>
      </c>
      <c r="E10" s="7" t="s">
        <v>2</v>
      </c>
      <c r="F10" s="7" t="s">
        <v>6</v>
      </c>
      <c r="G10" s="7" t="s">
        <v>7</v>
      </c>
      <c r="H10" s="7" t="s">
        <v>20</v>
      </c>
      <c r="L10">
        <v>83.24</v>
      </c>
      <c r="M10">
        <v>81.010000000000005</v>
      </c>
      <c r="N10">
        <f>SUM(L10:M10)</f>
        <v>164.25</v>
      </c>
      <c r="O10" t="s">
        <v>2</v>
      </c>
      <c r="P10" t="s">
        <v>9</v>
      </c>
      <c r="Q10" t="s">
        <v>16</v>
      </c>
      <c r="R10" t="s">
        <v>8</v>
      </c>
      <c r="S10" t="s">
        <v>26</v>
      </c>
    </row>
    <row r="11" spans="1:19">
      <c r="A11" s="10">
        <v>82.24</v>
      </c>
      <c r="B11" s="10">
        <v>81.209999999999994</v>
      </c>
      <c r="C11" s="10">
        <f>SUM(A11:B11)</f>
        <v>163.44999999999999</v>
      </c>
      <c r="D11" s="10" t="s">
        <v>8</v>
      </c>
      <c r="E11" s="10" t="s">
        <v>2</v>
      </c>
      <c r="F11" s="10" t="s">
        <v>9</v>
      </c>
      <c r="G11" s="10" t="s">
        <v>7</v>
      </c>
      <c r="H11" s="10" t="s">
        <v>20</v>
      </c>
    </row>
    <row r="12" spans="1:19">
      <c r="A12" s="7">
        <v>83.41</v>
      </c>
      <c r="B12" s="7">
        <v>79.930000000000007</v>
      </c>
      <c r="C12" s="7">
        <f>SUM(A12:B12)</f>
        <v>163.34</v>
      </c>
      <c r="D12" s="7" t="s">
        <v>8</v>
      </c>
      <c r="E12" s="6" t="s">
        <v>2</v>
      </c>
      <c r="F12" s="7" t="s">
        <v>14</v>
      </c>
      <c r="G12" s="6" t="s">
        <v>7</v>
      </c>
      <c r="H12" s="7" t="s">
        <v>20</v>
      </c>
      <c r="L12">
        <v>83.14</v>
      </c>
      <c r="M12">
        <v>80.91</v>
      </c>
      <c r="N12">
        <f t="shared" ref="N12:N13" si="2">SUM(L12:M12)</f>
        <v>164.05</v>
      </c>
      <c r="O12" t="s">
        <v>2</v>
      </c>
      <c r="P12" t="s">
        <v>9</v>
      </c>
      <c r="Q12" t="s">
        <v>16</v>
      </c>
      <c r="R12" s="6" t="s">
        <v>1</v>
      </c>
      <c r="S12" t="s">
        <v>24</v>
      </c>
    </row>
    <row r="13" spans="1:19">
      <c r="A13" s="7">
        <v>84.1</v>
      </c>
      <c r="B13" s="7">
        <v>78.5</v>
      </c>
      <c r="C13" s="7">
        <f>SUM(A13:B13)</f>
        <v>162.6</v>
      </c>
      <c r="D13" s="6" t="s">
        <v>8</v>
      </c>
      <c r="E13" s="6" t="s">
        <v>2</v>
      </c>
      <c r="F13" s="7" t="s">
        <v>11</v>
      </c>
      <c r="G13" s="6" t="s">
        <v>7</v>
      </c>
      <c r="H13" s="7" t="s">
        <v>20</v>
      </c>
      <c r="L13">
        <v>83.04</v>
      </c>
      <c r="M13">
        <v>80.900000000000006</v>
      </c>
      <c r="N13">
        <f t="shared" si="2"/>
        <v>163.94</v>
      </c>
      <c r="O13" t="s">
        <v>2</v>
      </c>
      <c r="P13" t="s">
        <v>9</v>
      </c>
      <c r="Q13" t="s">
        <v>16</v>
      </c>
      <c r="R13" s="6" t="s">
        <v>1</v>
      </c>
      <c r="S13" t="s">
        <v>23</v>
      </c>
    </row>
    <row r="14" spans="1:19">
      <c r="A14" s="7"/>
      <c r="B14" s="7"/>
      <c r="C14" s="7"/>
      <c r="D14" s="7"/>
      <c r="E14" s="7"/>
      <c r="F14" s="7"/>
      <c r="G14" s="7"/>
      <c r="H14" s="7"/>
      <c r="L14">
        <v>82.77</v>
      </c>
      <c r="M14">
        <v>80.900000000000006</v>
      </c>
      <c r="N14">
        <f>SUM(L14:M14)</f>
        <v>163.67000000000002</v>
      </c>
      <c r="O14" t="s">
        <v>2</v>
      </c>
      <c r="P14" t="s">
        <v>9</v>
      </c>
      <c r="Q14" t="s">
        <v>16</v>
      </c>
      <c r="R14" s="6" t="s">
        <v>1</v>
      </c>
      <c r="S14" t="s">
        <v>20</v>
      </c>
    </row>
    <row r="15" spans="1:19">
      <c r="A15" s="7"/>
      <c r="B15" s="7"/>
      <c r="C15" s="7"/>
      <c r="D15" s="7"/>
      <c r="E15" s="7"/>
      <c r="F15" s="7"/>
      <c r="G15" s="7"/>
      <c r="H15" s="7"/>
      <c r="L15">
        <v>81.97</v>
      </c>
      <c r="M15">
        <v>80.94</v>
      </c>
      <c r="N15">
        <f t="shared" ref="N15:N16" si="3">SUM(L15:M15)</f>
        <v>162.91</v>
      </c>
      <c r="O15" t="s">
        <v>2</v>
      </c>
      <c r="P15" t="s">
        <v>9</v>
      </c>
      <c r="Q15" t="s">
        <v>16</v>
      </c>
      <c r="R15" s="6" t="s">
        <v>1</v>
      </c>
      <c r="S15" t="s">
        <v>21</v>
      </c>
    </row>
    <row r="16" spans="1:19">
      <c r="A16" s="5">
        <v>73.459999999999994</v>
      </c>
      <c r="B16" s="5">
        <v>83.89</v>
      </c>
      <c r="C16" s="7">
        <f t="shared" ref="C16:C22" si="4">SUM(A16:B16)</f>
        <v>157.35</v>
      </c>
      <c r="D16" s="6" t="s">
        <v>8</v>
      </c>
      <c r="E16" s="6" t="s">
        <v>2</v>
      </c>
      <c r="F16" s="7" t="s">
        <v>6</v>
      </c>
      <c r="G16" s="6" t="s">
        <v>10</v>
      </c>
      <c r="H16" s="7" t="s">
        <v>20</v>
      </c>
      <c r="L16" s="12">
        <v>83.21</v>
      </c>
      <c r="M16" s="12">
        <v>80.91</v>
      </c>
      <c r="N16" s="12">
        <f t="shared" si="3"/>
        <v>164.12</v>
      </c>
      <c r="O16" s="12" t="s">
        <v>2</v>
      </c>
      <c r="P16" s="12" t="s">
        <v>9</v>
      </c>
      <c r="Q16" s="12" t="s">
        <v>16</v>
      </c>
      <c r="R16" s="13" t="s">
        <v>1</v>
      </c>
      <c r="S16" s="12" t="s">
        <v>22</v>
      </c>
    </row>
    <row r="17" spans="1:19">
      <c r="A17" s="7">
        <v>81.2</v>
      </c>
      <c r="B17" s="7">
        <v>81.599999999999994</v>
      </c>
      <c r="C17" s="7">
        <f t="shared" si="4"/>
        <v>162.80000000000001</v>
      </c>
      <c r="D17" s="6" t="s">
        <v>8</v>
      </c>
      <c r="E17" s="6" t="s">
        <v>2</v>
      </c>
      <c r="F17" s="7" t="s">
        <v>9</v>
      </c>
      <c r="G17" s="6" t="s">
        <v>10</v>
      </c>
      <c r="H17" s="7" t="s">
        <v>20</v>
      </c>
      <c r="L17">
        <v>79.72</v>
      </c>
      <c r="M17">
        <v>81.150000000000006</v>
      </c>
      <c r="N17">
        <f>SUM(L17:M17)</f>
        <v>160.87</v>
      </c>
      <c r="O17" t="s">
        <v>2</v>
      </c>
      <c r="P17" t="s">
        <v>9</v>
      </c>
      <c r="Q17" t="s">
        <v>16</v>
      </c>
      <c r="R17" s="6" t="s">
        <v>1</v>
      </c>
      <c r="S17" t="s">
        <v>27</v>
      </c>
    </row>
    <row r="18" spans="1:19">
      <c r="A18" s="7">
        <v>81.89</v>
      </c>
      <c r="B18" s="7">
        <v>81.41</v>
      </c>
      <c r="C18" s="7">
        <f t="shared" si="4"/>
        <v>163.30000000000001</v>
      </c>
      <c r="D18" s="7" t="s">
        <v>8</v>
      </c>
      <c r="E18" s="7" t="s">
        <v>2</v>
      </c>
      <c r="F18" s="7" t="s">
        <v>9</v>
      </c>
      <c r="G18" s="7" t="s">
        <v>15</v>
      </c>
      <c r="H18" s="7" t="s">
        <v>20</v>
      </c>
      <c r="L18">
        <v>82.64</v>
      </c>
      <c r="M18">
        <v>80.92</v>
      </c>
      <c r="N18">
        <f>SUM(L18:M18)</f>
        <v>163.56</v>
      </c>
      <c r="O18" t="s">
        <v>2</v>
      </c>
      <c r="P18" t="s">
        <v>9</v>
      </c>
      <c r="Q18" t="s">
        <v>16</v>
      </c>
      <c r="R18" s="6" t="s">
        <v>1</v>
      </c>
      <c r="S18" t="s">
        <v>25</v>
      </c>
    </row>
    <row r="19" spans="1:19">
      <c r="A19" s="7">
        <v>82.24</v>
      </c>
      <c r="B19" s="7">
        <v>81.209999999999994</v>
      </c>
      <c r="C19" s="7">
        <f t="shared" si="4"/>
        <v>163.44999999999999</v>
      </c>
      <c r="D19" s="7" t="s">
        <v>8</v>
      </c>
      <c r="E19" s="7" t="s">
        <v>2</v>
      </c>
      <c r="F19" s="7" t="s">
        <v>9</v>
      </c>
      <c r="G19" s="7" t="s">
        <v>7</v>
      </c>
      <c r="H19" s="7" t="s">
        <v>20</v>
      </c>
      <c r="L19">
        <v>82.95</v>
      </c>
      <c r="M19">
        <v>80.91</v>
      </c>
      <c r="N19">
        <f>SUM(L19:M19)</f>
        <v>163.86</v>
      </c>
      <c r="O19" t="s">
        <v>2</v>
      </c>
      <c r="P19" t="s">
        <v>9</v>
      </c>
      <c r="Q19" t="s">
        <v>16</v>
      </c>
      <c r="R19" s="6" t="s">
        <v>1</v>
      </c>
      <c r="S19" t="s">
        <v>26</v>
      </c>
    </row>
    <row r="20" spans="1:19">
      <c r="A20" s="10">
        <v>82.69</v>
      </c>
      <c r="B20" s="10">
        <v>80.959999999999994</v>
      </c>
      <c r="C20" s="10">
        <f t="shared" si="4"/>
        <v>163.64999999999998</v>
      </c>
      <c r="D20" s="9" t="s">
        <v>8</v>
      </c>
      <c r="E20" s="9" t="s">
        <v>2</v>
      </c>
      <c r="F20" s="10" t="s">
        <v>9</v>
      </c>
      <c r="G20" s="9" t="s">
        <v>16</v>
      </c>
      <c r="H20" s="10" t="s">
        <v>20</v>
      </c>
    </row>
    <row r="21" spans="1:19">
      <c r="A21" s="7">
        <v>82.88</v>
      </c>
      <c r="B21" s="7">
        <v>80.73</v>
      </c>
      <c r="C21" s="7">
        <f t="shared" si="4"/>
        <v>163.61000000000001</v>
      </c>
      <c r="D21" s="6" t="s">
        <v>8</v>
      </c>
      <c r="E21" s="6" t="s">
        <v>2</v>
      </c>
      <c r="F21" s="7" t="s">
        <v>9</v>
      </c>
      <c r="G21" s="6" t="s">
        <v>12</v>
      </c>
      <c r="H21" s="7" t="s">
        <v>20</v>
      </c>
    </row>
    <row r="22" spans="1:19">
      <c r="A22" s="7">
        <v>83.17</v>
      </c>
      <c r="B22" s="7">
        <v>80.42</v>
      </c>
      <c r="C22" s="7">
        <f t="shared" si="4"/>
        <v>163.59</v>
      </c>
      <c r="D22" s="6" t="s">
        <v>8</v>
      </c>
      <c r="E22" s="6" t="s">
        <v>2</v>
      </c>
      <c r="F22" s="7" t="s">
        <v>9</v>
      </c>
      <c r="G22" s="6" t="s">
        <v>18</v>
      </c>
      <c r="H22" s="7" t="s">
        <v>20</v>
      </c>
      <c r="L22">
        <v>83.4</v>
      </c>
      <c r="M22">
        <v>81.03</v>
      </c>
      <c r="N22">
        <f>SUM(L22:M22)</f>
        <v>164.43</v>
      </c>
      <c r="O22" s="7" t="s">
        <v>2</v>
      </c>
      <c r="P22" s="7" t="s">
        <v>9</v>
      </c>
      <c r="Q22" s="7" t="s">
        <v>16</v>
      </c>
      <c r="R22" s="7" t="s">
        <v>8</v>
      </c>
      <c r="S22" s="7" t="s">
        <v>22</v>
      </c>
    </row>
    <row r="23" spans="1:19">
      <c r="A23" s="7"/>
      <c r="B23" s="7"/>
      <c r="C23" s="7"/>
      <c r="D23" s="7"/>
      <c r="E23" s="7"/>
      <c r="F23" s="7"/>
      <c r="G23" s="7"/>
      <c r="H23" s="7"/>
      <c r="L23">
        <v>80.8</v>
      </c>
      <c r="M23">
        <v>80.34</v>
      </c>
      <c r="N23">
        <f>SUM(L23:M23)</f>
        <v>161.13999999999999</v>
      </c>
      <c r="O23" s="7" t="s">
        <v>17</v>
      </c>
      <c r="P23" s="7" t="s">
        <v>9</v>
      </c>
      <c r="Q23" s="7" t="s">
        <v>16</v>
      </c>
      <c r="R23" s="7" t="s">
        <v>8</v>
      </c>
      <c r="S23" s="7" t="s">
        <v>22</v>
      </c>
    </row>
    <row r="24" spans="1:19">
      <c r="A24" s="7">
        <v>82.79</v>
      </c>
      <c r="B24" s="7">
        <v>80.459999999999994</v>
      </c>
      <c r="C24" s="7">
        <f>SUM(A24:B24)</f>
        <v>163.25</v>
      </c>
      <c r="D24" s="6" t="s">
        <v>8</v>
      </c>
      <c r="E24" s="6" t="s">
        <v>2</v>
      </c>
      <c r="F24" s="7" t="s">
        <v>14</v>
      </c>
      <c r="G24" s="6" t="s">
        <v>10</v>
      </c>
      <c r="H24" s="7" t="s">
        <v>20</v>
      </c>
      <c r="L24" s="7">
        <v>82.17</v>
      </c>
      <c r="M24" s="7">
        <v>81.540000000000006</v>
      </c>
      <c r="N24">
        <f>SUM(L24:M24)</f>
        <v>163.71</v>
      </c>
      <c r="O24" s="7" t="s">
        <v>5</v>
      </c>
      <c r="P24" s="7" t="s">
        <v>9</v>
      </c>
      <c r="Q24" s="7" t="s">
        <v>16</v>
      </c>
      <c r="R24" s="7" t="s">
        <v>8</v>
      </c>
      <c r="S24" s="7" t="s">
        <v>22</v>
      </c>
    </row>
    <row r="25" spans="1:19">
      <c r="A25" s="10">
        <v>83.13</v>
      </c>
      <c r="B25" s="10">
        <v>80.209999999999994</v>
      </c>
      <c r="C25" s="10">
        <f t="shared" ref="C25:C27" si="5">SUM(A25:B25)</f>
        <v>163.33999999999997</v>
      </c>
      <c r="D25" s="10" t="s">
        <v>8</v>
      </c>
      <c r="E25" s="10" t="s">
        <v>2</v>
      </c>
      <c r="F25" s="10" t="s">
        <v>14</v>
      </c>
      <c r="G25" s="10" t="s">
        <v>15</v>
      </c>
      <c r="H25" s="10" t="s">
        <v>20</v>
      </c>
    </row>
    <row r="26" spans="1:19">
      <c r="A26" s="7">
        <v>83.41</v>
      </c>
      <c r="B26" s="7">
        <v>79.930000000000007</v>
      </c>
      <c r="C26" s="7">
        <f t="shared" si="5"/>
        <v>163.34</v>
      </c>
      <c r="D26" s="7" t="s">
        <v>8</v>
      </c>
      <c r="E26" s="7" t="s">
        <v>2</v>
      </c>
      <c r="F26" s="7" t="s">
        <v>14</v>
      </c>
      <c r="G26" s="7" t="s">
        <v>7</v>
      </c>
      <c r="H26" s="7" t="s">
        <v>20</v>
      </c>
    </row>
    <row r="27" spans="1:19">
      <c r="A27" s="7">
        <v>83.63</v>
      </c>
      <c r="B27" s="7">
        <v>79.61</v>
      </c>
      <c r="C27" s="7">
        <f t="shared" si="5"/>
        <v>163.24</v>
      </c>
      <c r="D27" s="6" t="s">
        <v>8</v>
      </c>
      <c r="E27" s="6" t="s">
        <v>2</v>
      </c>
      <c r="F27" s="7" t="s">
        <v>14</v>
      </c>
      <c r="G27" s="6" t="s">
        <v>16</v>
      </c>
      <c r="H27" s="7" t="s">
        <v>20</v>
      </c>
      <c r="M27" s="7"/>
      <c r="N27" s="7"/>
      <c r="O27" s="7"/>
      <c r="P27" s="6"/>
      <c r="Q27" s="7"/>
    </row>
    <row r="28" spans="1:19">
      <c r="A28" s="7"/>
      <c r="B28" s="7"/>
      <c r="C28" s="7"/>
      <c r="D28" s="7"/>
      <c r="E28" s="7"/>
      <c r="F28" s="7"/>
      <c r="G28" s="7"/>
      <c r="H28" s="7"/>
      <c r="M28" s="7"/>
      <c r="N28" s="7"/>
      <c r="O28" s="7"/>
      <c r="P28" s="6"/>
      <c r="Q28" s="7"/>
    </row>
    <row r="29" spans="1:19">
      <c r="A29" s="7"/>
      <c r="B29" s="7"/>
      <c r="C29" s="7"/>
      <c r="D29" s="7"/>
      <c r="E29" s="7"/>
      <c r="F29" s="7"/>
      <c r="G29" s="7"/>
      <c r="H29" s="7"/>
      <c r="M29" s="7"/>
      <c r="N29" s="7"/>
      <c r="O29" s="7"/>
      <c r="P29" s="6"/>
      <c r="Q29" s="7"/>
    </row>
    <row r="30" spans="1:19">
      <c r="A30" s="10">
        <v>82.24</v>
      </c>
      <c r="B30" s="10">
        <v>81.209999999999994</v>
      </c>
      <c r="C30" s="10">
        <f>SUM(A30:B30)</f>
        <v>163.44999999999999</v>
      </c>
      <c r="D30" s="10" t="s">
        <v>8</v>
      </c>
      <c r="E30" s="10" t="s">
        <v>2</v>
      </c>
      <c r="F30" s="10" t="s">
        <v>9</v>
      </c>
      <c r="G30" s="10" t="s">
        <v>7</v>
      </c>
      <c r="H30" s="10" t="s">
        <v>20</v>
      </c>
    </row>
    <row r="31" spans="1:19">
      <c r="A31" s="7">
        <v>81.37</v>
      </c>
      <c r="B31" s="7">
        <v>81.069999999999993</v>
      </c>
      <c r="C31" s="7">
        <f t="shared" ref="C31" si="6">SUM(A31:B31)</f>
        <v>162.44</v>
      </c>
      <c r="D31" s="7" t="s">
        <v>8</v>
      </c>
      <c r="E31" s="6" t="s">
        <v>17</v>
      </c>
      <c r="F31" s="7" t="s">
        <v>9</v>
      </c>
      <c r="G31" s="7" t="s">
        <v>7</v>
      </c>
      <c r="H31" s="7" t="s">
        <v>20</v>
      </c>
    </row>
    <row r="32" spans="1:19">
      <c r="A32" s="11">
        <v>86.34</v>
      </c>
      <c r="B32" s="11">
        <v>87.68</v>
      </c>
      <c r="C32" s="7">
        <f t="shared" ref="C32" si="7">SUM(A32:B32)</f>
        <v>174.02</v>
      </c>
      <c r="D32" s="7" t="s">
        <v>8</v>
      </c>
      <c r="E32" s="6" t="s">
        <v>5</v>
      </c>
      <c r="F32" s="7" t="s">
        <v>9</v>
      </c>
      <c r="G32" s="7" t="s">
        <v>7</v>
      </c>
      <c r="H32" s="7" t="s">
        <v>20</v>
      </c>
    </row>
    <row r="33" spans="1:14">
      <c r="A33" s="7"/>
      <c r="B33" s="7"/>
      <c r="C33" s="7"/>
      <c r="D33" s="7"/>
      <c r="E33" s="7"/>
      <c r="F33" s="7"/>
      <c r="G33" s="7"/>
      <c r="H33" s="7"/>
    </row>
    <row r="34" spans="1:14">
      <c r="A34" s="10">
        <v>82.69</v>
      </c>
      <c r="B34" s="10">
        <v>80.959999999999994</v>
      </c>
      <c r="C34" s="10">
        <f>SUM(A34:B34)</f>
        <v>163.64999999999998</v>
      </c>
      <c r="D34" s="10" t="s">
        <v>8</v>
      </c>
      <c r="E34" s="10" t="s">
        <v>2</v>
      </c>
      <c r="F34" s="10" t="s">
        <v>9</v>
      </c>
      <c r="G34" s="10" t="s">
        <v>16</v>
      </c>
      <c r="H34" s="10" t="s">
        <v>20</v>
      </c>
    </row>
    <row r="35" spans="1:14">
      <c r="A35" s="7">
        <v>81.91</v>
      </c>
      <c r="B35" s="7">
        <v>80.790000000000006</v>
      </c>
      <c r="C35" s="7">
        <f t="shared" ref="C35:C39" si="8">SUM(A35:B35)</f>
        <v>162.69999999999999</v>
      </c>
      <c r="D35" s="7" t="s">
        <v>8</v>
      </c>
      <c r="E35" s="6" t="s">
        <v>17</v>
      </c>
      <c r="F35" s="7" t="s">
        <v>9</v>
      </c>
      <c r="G35" s="7" t="s">
        <v>16</v>
      </c>
      <c r="H35" s="7" t="s">
        <v>20</v>
      </c>
    </row>
    <row r="36" spans="1:14">
      <c r="A36" s="11">
        <v>80.790000000000006</v>
      </c>
      <c r="B36" s="11">
        <v>81.06</v>
      </c>
      <c r="C36" s="7">
        <f t="shared" ref="C36" si="9">SUM(A36:B36)</f>
        <v>161.85000000000002</v>
      </c>
      <c r="D36" s="7" t="s">
        <v>8</v>
      </c>
      <c r="E36" s="6" t="s">
        <v>5</v>
      </c>
      <c r="F36" s="7" t="s">
        <v>9</v>
      </c>
      <c r="G36" s="7" t="s">
        <v>16</v>
      </c>
      <c r="H36" s="7" t="s">
        <v>20</v>
      </c>
    </row>
    <row r="37" spans="1:14">
      <c r="A37" s="7"/>
      <c r="B37" s="7"/>
      <c r="C37" s="7"/>
      <c r="D37" s="7"/>
      <c r="E37" s="7"/>
      <c r="F37" s="7"/>
      <c r="G37" s="7"/>
      <c r="H37" s="7"/>
    </row>
    <row r="38" spans="1:14">
      <c r="A38" s="10">
        <v>82.88</v>
      </c>
      <c r="B38" s="10">
        <v>80.73</v>
      </c>
      <c r="C38" s="10">
        <f t="shared" si="8"/>
        <v>163.61000000000001</v>
      </c>
      <c r="D38" s="10" t="s">
        <v>8</v>
      </c>
      <c r="E38" s="10" t="s">
        <v>2</v>
      </c>
      <c r="F38" s="10" t="s">
        <v>9</v>
      </c>
      <c r="G38" s="10" t="s">
        <v>12</v>
      </c>
      <c r="H38" s="10" t="s">
        <v>20</v>
      </c>
    </row>
    <row r="39" spans="1:14">
      <c r="A39" s="7">
        <v>82.47</v>
      </c>
      <c r="B39" s="7">
        <v>80.540000000000006</v>
      </c>
      <c r="C39" s="7">
        <f t="shared" si="8"/>
        <v>163.01</v>
      </c>
      <c r="D39" s="7" t="s">
        <v>8</v>
      </c>
      <c r="E39" s="6" t="s">
        <v>17</v>
      </c>
      <c r="F39" s="7" t="s">
        <v>9</v>
      </c>
      <c r="G39" s="7" t="s">
        <v>12</v>
      </c>
      <c r="H39" s="7" t="s">
        <v>20</v>
      </c>
    </row>
    <row r="40" spans="1:14">
      <c r="A40" s="11">
        <v>77.16</v>
      </c>
      <c r="B40" s="11">
        <v>59.94</v>
      </c>
      <c r="C40" s="7">
        <f t="shared" ref="C40" si="10">SUM(A40:B40)</f>
        <v>137.1</v>
      </c>
      <c r="D40" s="7" t="s">
        <v>8</v>
      </c>
      <c r="E40" s="6" t="s">
        <v>5</v>
      </c>
      <c r="F40" s="7" t="s">
        <v>9</v>
      </c>
      <c r="G40" s="7" t="s">
        <v>12</v>
      </c>
      <c r="H40" s="7" t="s">
        <v>20</v>
      </c>
    </row>
    <row r="41" spans="1:14">
      <c r="A41" s="11"/>
      <c r="B41" s="11"/>
      <c r="C41" s="11"/>
      <c r="D41" s="7"/>
      <c r="E41" s="7"/>
      <c r="F41" s="7"/>
      <c r="G41" s="7"/>
    </row>
    <row r="44" spans="1:14">
      <c r="L44">
        <v>91.44</v>
      </c>
      <c r="M44">
        <v>82.1</v>
      </c>
      <c r="N44">
        <f>SUM(L44:M44)</f>
        <v>173.54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Cosmo</dc:creator>
  <cp:lastModifiedBy>Ming Chen</cp:lastModifiedBy>
  <dcterms:created xsi:type="dcterms:W3CDTF">2015-06-05T18:17:20Z</dcterms:created>
  <dcterms:modified xsi:type="dcterms:W3CDTF">2025-12-25T23:19:53Z</dcterms:modified>
</cp:coreProperties>
</file>